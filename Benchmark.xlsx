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search\RayRoPE\"/>
    </mc:Choice>
  </mc:AlternateContent>
  <xr:revisionPtr revIDLastSave="0" documentId="13_ncr:1_{145A30A9-DAAB-4AA5-9AD7-ACF441DBFECC}" xr6:coauthVersionLast="47" xr6:coauthVersionMax="47" xr10:uidLastSave="{00000000-0000-0000-0000-000000000000}"/>
  <bookViews>
    <workbookView xWindow="-108" yWindow="-108" windowWidth="23256" windowHeight="12456" xr2:uid="{881A0AFD-4B39-46C4-AB76-43DCF9B3C8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  <c r="E19" i="1"/>
  <c r="D19" i="1"/>
  <c r="C19" i="1"/>
  <c r="C12" i="1"/>
  <c r="B12" i="1"/>
</calcChain>
</file>

<file path=xl/sharedStrings.xml><?xml version="1.0" encoding="utf-8"?>
<sst xmlns="http://schemas.openxmlformats.org/spreadsheetml/2006/main" count="14" uniqueCount="9">
  <si>
    <t>PyTorch</t>
    <phoneticPr fontId="1" type="noConversion"/>
  </si>
  <si>
    <t>CUDA</t>
    <phoneticPr fontId="1" type="noConversion"/>
  </si>
  <si>
    <t>Time (ms)</t>
  </si>
  <si>
    <t>Peak Memory (MB)</t>
    <phoneticPr fontId="1" type="noConversion"/>
  </si>
  <si>
    <t>End Memory (MB)</t>
    <phoneticPr fontId="1" type="noConversion"/>
  </si>
  <si>
    <t>_prepare_apply_fns()</t>
    <phoneticPr fontId="1" type="noConversion"/>
  </si>
  <si>
    <t>Total</t>
    <phoneticPr fontId="1" type="noConversion"/>
  </si>
  <si>
    <t>Forward</t>
    <phoneticPr fontId="1" type="noConversion"/>
  </si>
  <si>
    <t>Backward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</si>
</sst>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rgb="FFDCDCAA"/>
      <name val="Consolas"/>
      <family val="3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0" xfId="0" applyBorder="1">
      <alignment vertical="center"/>
    </xf>
    <xf numFmtId="0" fontId="0" fillId="0" borderId="10" xfId="0" applyBorder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vertical="center"/>
    </xf>
    <xf numFmtId="0" fontId="0" fillId="0" borderId="9" xfId="0" applyBorder="1" applyAlignment="1">
      <alignment vertical="center"/>
    </xf>
    <xf numFmtId="0" fontId="0" fillId="0" borderId="2" xfId="0" applyBorder="1" applyAlignment="1">
      <alignment vertical="center"/>
    </xf>
    <xf numFmtId="10" fontId="0" fillId="0" borderId="0" xfId="0" applyNumberFormat="1">
      <alignment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0" fillId="0" borderId="0" xfId="0" applyFill="1">
      <alignment vertical="center"/>
    </xf>
    <xf numFmtId="0" fontId="0" fillId="0" borderId="1" xfId="0" applyFill="1" applyBorder="1">
      <alignment vertical="center"/>
    </xf>
    <xf numFmtId="0" fontId="0" fillId="0" borderId="2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9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4" xfId="0" applyFill="1" applyBorder="1">
      <alignment vertical="center"/>
    </xf>
    <xf numFmtId="0" fontId="0" fillId="0" borderId="11" xfId="0" applyFill="1" applyBorder="1">
      <alignment vertical="center"/>
    </xf>
    <xf numFmtId="0" fontId="0" fillId="0" borderId="0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10" xfId="0" applyFill="1" applyBorder="1">
      <alignment vertical="center"/>
    </xf>
    <xf numFmtId="0" fontId="0" fillId="0" borderId="8" xfId="0" applyFill="1" applyBorder="1">
      <alignment vertical="center"/>
    </xf>
    <xf numFmtId="0" fontId="0" fillId="0" borderId="5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7" xfId="0" applyFill="1" applyBorder="1">
      <alignment vertical="center"/>
    </xf>
    <xf numFmtId="10" fontId="0" fillId="0" borderId="0" xfId="0" applyNumberForma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91FD1-C440-4A5B-9EDB-41EB6C1DE81E}">
  <dimension ref="B2:H19"/>
  <sheetViews>
    <sheetView tabSelected="1" workbookViewId="0">
      <selection activeCell="L15" sqref="L15"/>
    </sheetView>
  </sheetViews>
  <sheetFormatPr defaultRowHeight="17.399999999999999" x14ac:dyDescent="0.4"/>
  <cols>
    <col min="3" max="3" width="12.8984375" bestFit="1" customWidth="1"/>
    <col min="4" max="4" width="12.09765625" bestFit="1" customWidth="1"/>
    <col min="5" max="5" width="10.09765625" customWidth="1"/>
    <col min="6" max="6" width="17.69921875" bestFit="1" customWidth="1"/>
    <col min="7" max="7" width="16.8984375" bestFit="1" customWidth="1"/>
  </cols>
  <sheetData>
    <row r="2" spans="2:8" ht="19.2" x14ac:dyDescent="0.4">
      <c r="B2" s="13" t="s">
        <v>5</v>
      </c>
      <c r="C2" s="14"/>
      <c r="D2" s="14"/>
      <c r="E2" s="14"/>
      <c r="F2" s="14"/>
      <c r="G2" s="14"/>
      <c r="H2" s="8"/>
    </row>
    <row r="3" spans="2:8" x14ac:dyDescent="0.4">
      <c r="B3" s="15"/>
      <c r="C3" s="15"/>
      <c r="D3" s="15"/>
      <c r="E3" s="15"/>
      <c r="F3" s="15"/>
      <c r="G3" s="15"/>
    </row>
    <row r="4" spans="2:8" ht="18" thickBot="1" x14ac:dyDescent="0.45">
      <c r="B4" s="15" t="s">
        <v>2</v>
      </c>
      <c r="C4" s="15"/>
      <c r="D4" s="15"/>
      <c r="E4" s="15"/>
      <c r="F4" s="15"/>
      <c r="G4" s="15"/>
    </row>
    <row r="5" spans="2:8" ht="18" thickBot="1" x14ac:dyDescent="0.45">
      <c r="B5" s="16" t="s">
        <v>0</v>
      </c>
      <c r="C5" s="17" t="s">
        <v>1</v>
      </c>
      <c r="D5" s="15"/>
      <c r="E5" s="18"/>
      <c r="F5" s="19" t="s">
        <v>3</v>
      </c>
      <c r="G5" s="17" t="s">
        <v>4</v>
      </c>
    </row>
    <row r="6" spans="2:8" ht="18" thickTop="1" x14ac:dyDescent="0.4">
      <c r="B6" s="20">
        <v>10313.254999999999</v>
      </c>
      <c r="C6" s="21">
        <v>60.893000000000001</v>
      </c>
      <c r="D6" s="15"/>
      <c r="E6" s="22" t="s">
        <v>0</v>
      </c>
      <c r="F6" s="23">
        <v>8.1000000000000003E-2</v>
      </c>
      <c r="G6" s="21">
        <v>0.08</v>
      </c>
    </row>
    <row r="7" spans="2:8" ht="18" thickBot="1" x14ac:dyDescent="0.45">
      <c r="B7" s="20">
        <v>9267.9979999999996</v>
      </c>
      <c r="C7" s="21">
        <v>58.426000000000002</v>
      </c>
      <c r="D7" s="15"/>
      <c r="E7" s="24" t="s">
        <v>1</v>
      </c>
      <c r="F7" s="25">
        <v>0.02</v>
      </c>
      <c r="G7" s="26">
        <v>1.9E-2</v>
      </c>
    </row>
    <row r="8" spans="2:8" x14ac:dyDescent="0.4">
      <c r="B8" s="20">
        <v>9581.8220000000001</v>
      </c>
      <c r="C8" s="21">
        <v>59.1</v>
      </c>
      <c r="D8" s="15"/>
      <c r="E8" s="15"/>
      <c r="F8" s="15"/>
      <c r="G8" s="15"/>
    </row>
    <row r="9" spans="2:8" x14ac:dyDescent="0.4">
      <c r="B9" s="20">
        <v>9381.7289999999994</v>
      </c>
      <c r="C9" s="21">
        <v>65.185000000000002</v>
      </c>
      <c r="D9" s="15"/>
      <c r="E9" s="15"/>
      <c r="F9" s="15"/>
      <c r="G9" s="15"/>
    </row>
    <row r="10" spans="2:8" x14ac:dyDescent="0.4">
      <c r="B10" s="20">
        <v>10104.949000000001</v>
      </c>
      <c r="C10" s="21">
        <v>65.058000000000007</v>
      </c>
      <c r="D10" s="15"/>
      <c r="E10" s="15"/>
      <c r="F10" s="15"/>
      <c r="G10" s="15"/>
    </row>
    <row r="11" spans="2:8" ht="18" thickBot="1" x14ac:dyDescent="0.45">
      <c r="B11" s="27">
        <v>9721.9789999999994</v>
      </c>
      <c r="C11" s="28">
        <v>61.305</v>
      </c>
      <c r="D11" s="15"/>
      <c r="E11" s="15"/>
      <c r="F11" s="15"/>
      <c r="G11" s="15"/>
    </row>
    <row r="12" spans="2:8" ht="18.600000000000001" thickTop="1" thickBot="1" x14ac:dyDescent="0.45">
      <c r="B12" s="29">
        <f>AVERAGE(B6:B11)</f>
        <v>9728.6219999999994</v>
      </c>
      <c r="C12" s="26">
        <f>AVERAGE(C6:C11)</f>
        <v>61.661166666666674</v>
      </c>
      <c r="D12" s="30">
        <f>(B12/C12)/100</f>
        <v>1.5777550970762255</v>
      </c>
      <c r="E12" s="15"/>
      <c r="F12" s="15"/>
      <c r="G12" s="15"/>
    </row>
    <row r="15" spans="2:8" ht="18" thickBot="1" x14ac:dyDescent="0.45">
      <c r="B15" t="s">
        <v>2</v>
      </c>
    </row>
    <row r="16" spans="2:8" ht="18" thickBot="1" x14ac:dyDescent="0.45">
      <c r="B16" s="1"/>
      <c r="C16" s="10" t="s">
        <v>0</v>
      </c>
      <c r="D16" s="11" t="s">
        <v>1</v>
      </c>
      <c r="E16" s="9"/>
      <c r="F16" s="9"/>
      <c r="G16" s="9"/>
    </row>
    <row r="17" spans="2:5" ht="18" thickTop="1" x14ac:dyDescent="0.4">
      <c r="B17" s="2" t="s">
        <v>7</v>
      </c>
      <c r="C17" s="6">
        <v>8.6869999999999994</v>
      </c>
      <c r="D17" s="3">
        <v>5.7679999999999998</v>
      </c>
    </row>
    <row r="18" spans="2:5" x14ac:dyDescent="0.4">
      <c r="B18" s="2" t="s">
        <v>8</v>
      </c>
      <c r="C18" s="6">
        <v>17.082000000000001</v>
      </c>
      <c r="D18" s="3">
        <v>17.082000000000001</v>
      </c>
    </row>
    <row r="19" spans="2:5" ht="18" thickBot="1" x14ac:dyDescent="0.45">
      <c r="B19" s="4" t="s">
        <v>6</v>
      </c>
      <c r="C19" s="7">
        <f>C17+C18</f>
        <v>25.768999999999998</v>
      </c>
      <c r="D19" s="5">
        <f>D17+D18</f>
        <v>22.85</v>
      </c>
      <c r="E19" s="12">
        <f>(C19/D19)/100</f>
        <v>1.1277461706783369E-2</v>
      </c>
    </row>
  </sheetData>
  <mergeCells count="1">
    <mergeCell ref="B2:G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 형빈</dc:creator>
  <cp:lastModifiedBy>조 형빈</cp:lastModifiedBy>
  <dcterms:created xsi:type="dcterms:W3CDTF">2026-04-14T10:01:33Z</dcterms:created>
  <dcterms:modified xsi:type="dcterms:W3CDTF">2026-04-14T10:28:06Z</dcterms:modified>
</cp:coreProperties>
</file>